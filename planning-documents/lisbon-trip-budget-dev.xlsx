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  <sheet sheetId="2" name="who owes who" state="visible" r:id="rId5"/>
    <sheet sheetId="3" name="flights" state="visible" r:id="rId6"/>
    <sheet sheetId="4" name="Sheet4" state="visible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old screenshot said 830.40. fare changed when maya waited.</t>
        </r>
      </text>
    </comment>
    <comment ref="B11" authorId="0">
      <text>
        <r>
          <t>why is this wrong. TBD is breaking something obviously.</t>
        </r>
      </text>
    </comment>
  </commentList>
</comments>
</file>

<file path=xl/sharedStrings.xml><?xml version="1.0" encoding="utf-8"?>
<sst xmlns="http://schemas.openxmlformats.org/spreadsheetml/2006/main" count="65" uniqueCount="52">
  <si>
    <t>thing</t>
  </si>
  <si>
    <t>amount €</t>
  </si>
  <si>
    <t>split</t>
  </si>
  <si>
    <t>per person</t>
  </si>
  <si>
    <t>notes</t>
  </si>
  <si>
    <t>chave - Ribeira Riverside (6 x 110)</t>
  </si>
  <si>
    <t>paid ✅</t>
  </si>
  <si>
    <t>chave cleaning fee</t>
  </si>
  <si>
    <t>why isnt this in price</t>
  </si>
  <si>
    <t>chave service fee</t>
  </si>
  <si>
    <t>annoying but ok</t>
  </si>
  <si>
    <t>linha clara air x4</t>
  </si>
  <si>
    <t>fare went up €6.40</t>
  </si>
  <si>
    <t>bags (4)</t>
  </si>
  <si>
    <t>sam has a bag??</t>
  </si>
  <si>
    <t>rota curta sintra x3</t>
  </si>
  <si>
    <t>sam no response</t>
  </si>
  <si>
    <t>mare baixa first dinner est</t>
  </si>
  <si>
    <t>priya pay me back</t>
  </si>
  <si>
    <t>airport shared shuttle</t>
  </si>
  <si>
    <t>tram / metro / random</t>
  </si>
  <si>
    <t>TBD</t>
  </si>
  <si>
    <t>sam fill this in</t>
  </si>
  <si>
    <t>TOTAL</t>
  </si>
  <si>
    <t/>
  </si>
  <si>
    <t>why is this wrong</t>
  </si>
  <si>
    <t>person</t>
  </si>
  <si>
    <t>paid so far</t>
  </si>
  <si>
    <t>share estimate</t>
  </si>
  <si>
    <t>owes dev</t>
  </si>
  <si>
    <t>status</t>
  </si>
  <si>
    <t>Maya</t>
  </si>
  <si>
    <t>reminded 2x</t>
  </si>
  <si>
    <t>Dev</t>
  </si>
  <si>
    <t>i am the bank apparently</t>
  </si>
  <si>
    <t>Priya</t>
  </si>
  <si>
    <t>Sam</t>
  </si>
  <si>
    <t>???</t>
  </si>
  <si>
    <t>who</t>
  </si>
  <si>
    <t>outbound</t>
  </si>
  <si>
    <t>return</t>
  </si>
  <si>
    <t>bag</t>
  </si>
  <si>
    <t>paid</t>
  </si>
  <si>
    <t>Maya Patel</t>
  </si>
  <si>
    <t>LC 482 · Thu 20 May · LCY 09:15 → LIS 12:00</t>
  </si>
  <si>
    <t>LC 483 · Wed 26 May · LIS 16:40 → LCY 19:20</t>
  </si>
  <si>
    <t>1 cabin + 1 checked</t>
  </si>
  <si>
    <t>yes</t>
  </si>
  <si>
    <t>Dev Shah</t>
  </si>
  <si>
    <t>Priya Iyer</t>
  </si>
  <si>
    <t>Sam Ferreira</t>
  </si>
  <si>
    <t>sam says 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</si>
</sst>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CC"/>
      </patternFill>
    </fill>
    <fill>
      <patternFill patternType="solid">
        <fgColor rgb="D9EAD3"/>
      </patternFill>
    </fill>
    <fill>
      <patternFill patternType="solid">
        <fgColor rgb="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0" fillId="3" borderId="0" xfId="0" applyFill="1" applyAlignme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9" customWidth="1"/>
    <col min="2" max="2" width="13" customWidth="1"/>
    <col min="4" max="4" width="14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3">
        <v>660</v>
      </c>
      <c r="C2" s="2">
        <v>4</v>
      </c>
      <c r="D2" s="3">
        <f>B2/C2</f>
      </c>
      <c r="E2" s="2" t="s">
        <v>6</v>
      </c>
    </row>
    <row r="3" spans="1:5" x14ac:dyDescent="0.25">
      <c r="A3" t="s">
        <v>7</v>
      </c>
      <c r="B3" s="4">
        <v>42.6</v>
      </c>
      <c r="C3">
        <v>4</v>
      </c>
      <c r="D3" s="4">
        <f>B3/C3</f>
      </c>
      <c r="E3" t="s">
        <v>8</v>
      </c>
    </row>
    <row r="4" spans="1:5" x14ac:dyDescent="0.25">
      <c r="A4" t="s">
        <v>9</v>
      </c>
      <c r="B4" s="4">
        <v>31.8</v>
      </c>
      <c r="C4">
        <v>4</v>
      </c>
      <c r="D4" s="4">
        <f>B4/C4</f>
      </c>
      <c r="E4" t="s">
        <v>10</v>
      </c>
    </row>
    <row r="5" spans="1:5" x14ac:dyDescent="0.25">
      <c r="A5" t="s">
        <v>11</v>
      </c>
      <c r="B5" s="4">
        <v>849.6</v>
      </c>
      <c r="C5">
        <v>4</v>
      </c>
      <c r="D5" s="4">
        <f>B5/C5</f>
      </c>
      <c r="E5" t="s">
        <v>12</v>
      </c>
    </row>
    <row r="6" spans="1:5" x14ac:dyDescent="0.25">
      <c r="A6" t="s">
        <v>13</v>
      </c>
      <c r="B6" s="4">
        <v>108</v>
      </c>
      <c r="C6">
        <v>4</v>
      </c>
      <c r="D6" s="4">
        <f>B6/C6</f>
      </c>
      <c r="E6" t="s">
        <v>14</v>
      </c>
    </row>
    <row r="7" spans="1:5" s="5" customFormat="1" x14ac:dyDescent="0.25">
      <c r="A7" s="5" t="s">
        <v>15</v>
      </c>
      <c r="B7" s="6">
        <v>237</v>
      </c>
      <c r="C7" s="5">
        <v>3</v>
      </c>
      <c r="D7" s="6">
        <f>B7/C7</f>
      </c>
      <c r="E7" s="7" t="s">
        <v>16</v>
      </c>
    </row>
    <row r="8" spans="1:5" x14ac:dyDescent="0.25">
      <c r="A8" t="s">
        <v>17</v>
      </c>
      <c r="B8" s="4">
        <v>177.2</v>
      </c>
      <c r="C8">
        <v>4</v>
      </c>
      <c r="D8" s="4">
        <f>B8/C8</f>
      </c>
      <c r="E8" t="s">
        <v>18</v>
      </c>
    </row>
    <row r="9" spans="1:5" x14ac:dyDescent="0.25">
      <c r="A9" t="s">
        <v>19</v>
      </c>
      <c r="B9" s="4">
        <v>48</v>
      </c>
      <c r="C9">
        <v>4</v>
      </c>
      <c r="D9" s="4">
        <f>B9/C9</f>
      </c>
      <c r="E9" t="s">
        <v>6</v>
      </c>
    </row>
    <row r="10" spans="1:5" x14ac:dyDescent="0.25">
      <c r="A10" t="s">
        <v>20</v>
      </c>
      <c r="B10" s="4" t="s">
        <v>21</v>
      </c>
      <c r="C10">
        <v>4</v>
      </c>
      <c r="D10" s="4">
        <f>B10/C10</f>
      </c>
      <c r="E10" t="s">
        <v>22</v>
      </c>
    </row>
    <row r="11" spans="1:5" x14ac:dyDescent="0.25">
      <c r="A11" t="s">
        <v>23</v>
      </c>
      <c r="B11" s="4">
        <f>SUM(B2:B10)</f>
      </c>
      <c r="C11" t="s">
        <v>24</v>
      </c>
      <c r="D11" s="4">
        <f>SUM(D2:D10)</f>
      </c>
      <c r="E1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8" customWidth="1"/>
    <col min="2" max="2" width="16" customWidth="1"/>
    <col min="3" max="3" width="17" customWidth="1"/>
    <col min="4" max="4" width="15" customWidth="1"/>
    <col min="5" max="5" width="22" customWidth="1"/>
  </cols>
  <sheetData>
    <row r="1" spans="1:5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5">
      <c r="A2" t="s">
        <v>31</v>
      </c>
      <c r="B2">
        <v>0</v>
      </c>
      <c r="C2">
        <f>budget!D11</f>
      </c>
      <c r="D2">
        <f>C2-B2</f>
      </c>
      <c r="E2" t="s">
        <v>32</v>
      </c>
    </row>
    <row r="3" spans="1:5" x14ac:dyDescent="0.25">
      <c r="A3" t="s">
        <v>33</v>
      </c>
      <c r="B3">
        <v>2014</v>
      </c>
      <c r="C3">
        <f>budget!D11</f>
      </c>
      <c r="D3">
        <f>C3-B3</f>
      </c>
      <c r="E3" t="s">
        <v>34</v>
      </c>
    </row>
    <row r="4" spans="1:5" x14ac:dyDescent="0.25">
      <c r="A4" t="s">
        <v>35</v>
      </c>
      <c r="B4">
        <v>0</v>
      </c>
      <c r="C4">
        <f>budget!D11</f>
      </c>
      <c r="D4">
        <f>C4-B4</f>
      </c>
      <c r="E4" t="s">
        <v>18</v>
      </c>
    </row>
    <row r="5" spans="1:5" x14ac:dyDescent="0.25">
      <c r="A5" t="s">
        <v>36</v>
      </c>
      <c r="B5">
        <v>0</v>
      </c>
      <c r="C5">
        <f>budget!D11</f>
      </c>
      <c r="D5">
        <f>C5-B5</f>
      </c>
      <c r="E5" s="8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9" customWidth="1"/>
    <col min="2" max="3" width="35" customWidth="1"/>
    <col min="4" max="4" width="18" customWidth="1"/>
    <col min="5" max="5" width="14" customWidth="1"/>
  </cols>
  <sheetData>
    <row r="1" spans="1:5" s="1" customForma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</row>
    <row r="3" spans="1:5" x14ac:dyDescent="0.25">
      <c r="A3" t="s">
        <v>48</v>
      </c>
      <c r="B3" t="s">
        <v>44</v>
      </c>
      <c r="C3" t="s">
        <v>45</v>
      </c>
      <c r="D3" t="s">
        <v>46</v>
      </c>
      <c r="E3" t="s">
        <v>47</v>
      </c>
    </row>
    <row r="4" spans="1:5" x14ac:dyDescent="0.25">
      <c r="A4" t="s">
        <v>49</v>
      </c>
      <c r="B4" t="s">
        <v>44</v>
      </c>
      <c r="C4" t="s">
        <v>45</v>
      </c>
      <c r="D4" t="s">
        <v>46</v>
      </c>
      <c r="E4" t="s">
        <v>47</v>
      </c>
    </row>
    <row r="5" spans="1:5" x14ac:dyDescent="0.25">
      <c r="A5" t="s">
        <v>50</v>
      </c>
      <c r="B5" t="s">
        <v>44</v>
      </c>
      <c r="C5" t="s">
        <v>45</v>
      </c>
      <c r="D5" t="s">
        <v>51</v>
      </c>
      <c r="E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</vt:lpstr>
      <vt:lpstr>who owes who</vt:lpstr>
      <vt:lpstr>flights</vt:lpstr>
      <vt:lpstr>Sheet4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Shah</dc:creator>
  <dc:title/>
  <dc:subject/>
  <dc:description/>
  <cp:keywords/>
  <cp:category/>
  <cp:lastModifiedBy>Unknown</cp:lastModifiedBy>
  <dcterms:created xsi:type="dcterms:W3CDTF">2026-09-21T16:35:19Z</dcterms:created>
  <dcterms:modified xsi:type="dcterms:W3CDTF">2026-09-21T16:35:19Z</dcterms:modified>
</cp:coreProperties>
</file>